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2D96FD7-544A-41B8-89C5-9EDFABA4BB0E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Data" sheetId="1" r:id="rId1"/>
    <sheet name="dashboard" sheetId="2" r:id="rId2"/>
    <sheet name="calc" sheetId="3" r:id="rId3"/>
  </sheets>
  <definedNames>
    <definedName name="_xlcn.WorksheetConnection_telugudashboardblank.xlsxchoc" hidden="1">choc[]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" name="choc" connection="WorksheetConnection_telugu-dashboard-blank.xlsx!cho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C28" i="2"/>
  <c r="D49" i="2"/>
  <c r="D50" i="2"/>
  <c r="D52" i="2"/>
  <c r="E29" i="2"/>
  <c r="D28" i="2" s="1"/>
  <c r="E30" i="2"/>
  <c r="D29" i="2" s="1"/>
  <c r="E31" i="2"/>
  <c r="D30" i="2" s="1"/>
  <c r="E32" i="2"/>
  <c r="D31" i="2" s="1"/>
  <c r="E33" i="2"/>
  <c r="D32" i="2" s="1"/>
  <c r="E34" i="2"/>
  <c r="D33" i="2" s="1"/>
  <c r="E35" i="2"/>
  <c r="D34" i="2" s="1"/>
  <c r="E36" i="2"/>
  <c r="D35" i="2" s="1"/>
  <c r="E37" i="2"/>
  <c r="D36" i="2" s="1"/>
  <c r="E38" i="2"/>
  <c r="E39" i="2"/>
  <c r="E40" i="2"/>
  <c r="D39" i="2" s="1"/>
  <c r="E41" i="2"/>
  <c r="D40" i="2" s="1"/>
  <c r="E42" i="2"/>
  <c r="D41" i="2" s="1"/>
  <c r="E43" i="2"/>
  <c r="D42" i="2" s="1"/>
  <c r="E44" i="2"/>
  <c r="D43" i="2" s="1"/>
  <c r="E45" i="2"/>
  <c r="D44" i="2" s="1"/>
  <c r="E46" i="2"/>
  <c r="D45" i="2" s="1"/>
  <c r="E47" i="2"/>
  <c r="D46" i="2" s="1"/>
  <c r="E48" i="2"/>
  <c r="D47" i="2" s="1"/>
  <c r="E49" i="2"/>
  <c r="D48" i="2" s="1"/>
  <c r="E50" i="2"/>
  <c r="E51" i="2"/>
  <c r="E52" i="2"/>
  <c r="D51" i="2" s="1"/>
  <c r="C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E28" i="2"/>
  <c r="I28" i="2"/>
  <c r="G27" i="2"/>
  <c r="E27" i="2"/>
  <c r="I27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I7" i="2"/>
  <c r="G7" i="2"/>
  <c r="E7" i="2"/>
  <c r="D38" i="2" l="1"/>
  <c r="D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ABAE-79AE-460D-9165-59E756B40C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97D7798-4B9C-433F-A043-C77B20C687B3}" name="WorksheetConnection_telugu-dashboard-blank.xlsx!choc" type="102" refreshedVersion="8" minRefreshableVersion="5">
    <extLst>
      <ext xmlns:x15="http://schemas.microsoft.com/office/spreadsheetml/2010/11/main" uri="{DE250136-89BD-433C-8126-D09CA5730AF9}">
        <x15:connection id="choc" autoDelete="1">
          <x15:rangePr sourceName="_xlcn.WorksheetConnection_telugudashboardblank.xlsxchoc"/>
        </x15:connection>
      </ext>
    </extLst>
  </connection>
</connections>
</file>

<file path=xl/sharedStrings.xml><?xml version="1.0" encoding="utf-8"?>
<sst xmlns="http://schemas.openxmlformats.org/spreadsheetml/2006/main" count="7262" uniqueCount="76">
  <si>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</si>
  <si>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</si>
  <si>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</si>
  <si>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</si>
  <si>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</si>
  <si>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</si>
  <si>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</si>
  <si>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</si>
  <si>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</si>
  <si>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</si>
  <si>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</si>
  <si>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</si>
  <si>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</si>
  <si>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</si>
  <si>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</si>
  <si>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</si>
  <si>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</si>
  <si>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</si>
  <si>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</si>
  <si>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</si>
  <si>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</si>
  <si>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</si>
  <si>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</si>
  <si>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</si>
  <si>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</si>
  <si>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</si>
  <si>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</si>
  <si>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</si>
  <si>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</si>
  <si>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</si>
  <si>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</si>
  <si>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</si>
  <si>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</si>
  <si>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</si>
  <si>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</si>
  <si>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</si>
  <si>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</si>
  <si>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</si>
  <si>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</si>
  <si>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</si>
  <si>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</si>
  <si>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</si>
  <si>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</si>
  <si>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</si>
  <si>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</si>
  <si>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</si>
  <si>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</si>
  <si>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</si>
  <si>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</si>
  <si>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</si>
  <si>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</si>
  <si>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</si>
  <si>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</si>
  <si>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</si>
  <si>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</si>
  <si>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</si>
  <si>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</si>
  <si>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</si>
  <si>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</si>
  <si>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</si>
  <si>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</si>
  <si>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</si>
  <si>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</si>
  <si>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Sum of Amount</t>
  </si>
  <si>
    <t>Sum of Boxes</t>
  </si>
  <si>
    <t>Row Labels</t>
  </si>
  <si>
    <t>Grand Total</t>
  </si>
  <si>
    <t>Count of Product</t>
  </si>
  <si>
    <t>Distinct Count of Sales Person</t>
  </si>
  <si>
    <t>avg amount per person</t>
  </si>
  <si>
    <t>TOTAL SALES</t>
  </si>
  <si>
    <t>TOTAL BOXES</t>
  </si>
  <si>
    <t>TOTAL SHIPMENTS</t>
  </si>
  <si>
    <t>SALES PER PERSON</t>
  </si>
  <si>
    <t>SALES BY GEOGRAPHY</t>
  </si>
  <si>
    <t xml:space="preserve">     Monthly Sales Dashboard - Awesome chocolates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</si>
</sst>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₹-44A]#,##0"/>
    <numFmt numFmtId="165" formatCode="[$₹-44A]#,##0.00"/>
    <numFmt numFmtId="166" formatCode="&quot;₹&quot;\ #,##0;#,##0\ \-&quot;₹&quot;;&quot;₹&quot;\ #,##0"/>
    <numFmt numFmtId="167" formatCode="&quot;₹&quot;\ #,##0"/>
    <numFmt numFmtId="168" formatCode="&quot;₹&quot;\ #,##0.0,,&quot;mn&quot;"/>
  </numFmts>
  <fonts count="8" x14ac:knownFonts="1">
    <font>
      <sz val="11"/>
      <color theme="1"/>
      <name val="Franklin Gothic Book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Franklin Gothic Book"/>
      <family val="2"/>
      <scheme val="minor"/>
    </font>
    <font>
      <sz val="18"/>
      <color theme="1"/>
      <name val="Franklin Gothic Book"/>
      <family val="2"/>
      <scheme val="minor"/>
    </font>
    <font>
      <sz val="14"/>
      <color theme="1"/>
      <name val="Franklin Gothic Book"/>
      <family val="2"/>
      <scheme val="minor"/>
    </font>
    <font>
      <sz val="20"/>
      <color theme="1"/>
      <name val="Franklin Gothic Book"/>
      <family val="2"/>
      <scheme val="minor"/>
    </font>
    <font>
      <sz val="22"/>
      <color theme="1"/>
      <name val="Franklin Gothic Book"/>
      <family val="2"/>
      <scheme val="minor"/>
    </font>
    <font>
      <b/>
      <i/>
      <sz val="18"/>
      <color rgb="FFFF0000"/>
      <name val="Franklin Gothic Book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67" fontId="3" fillId="0" borderId="0" xfId="0" applyNumberFormat="1" applyFont="1" applyAlignment="1">
      <alignment horizontal="center" vertical="center"/>
    </xf>
    <xf numFmtId="168" fontId="0" fillId="0" borderId="0" xfId="0" applyNumberFormat="1"/>
    <xf numFmtId="0" fontId="4" fillId="0" borderId="0" xfId="0" applyFont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/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/>
    <xf numFmtId="167" fontId="0" fillId="0" borderId="2" xfId="0" applyNumberFormat="1" applyBorder="1"/>
    <xf numFmtId="167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21">
    <dxf>
      <numFmt numFmtId="168" formatCode="&quot;₹&quot;\ #,##0.0,,&quot;mn&quot;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7" formatCode="&quot;₹&quot;\ #,##0"/>
    </dxf>
    <dxf>
      <numFmt numFmtId="168" formatCode="&quot;₹&quot;\ #,##0.0,,&quot;mn&quot;"/>
    </dxf>
    <dxf>
      <numFmt numFmtId="167" formatCode="&quot;₹&quot;\ #,##0"/>
    </dxf>
    <dxf>
      <numFmt numFmtId="1" formatCode="0"/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Franklin Gothic Book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2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[Monthly-Sales-Dashboard.xlsx]calc!PivotTable2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F00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FF00"/>
          </a:solidFill>
          <a:ln>
            <a:noFill/>
          </a:ln>
          <a:effectLst>
            <a:softEdge rad="0"/>
          </a:effectLst>
        </c:spPr>
      </c:pivotFmt>
      <c:pivotFmt>
        <c:idx val="2"/>
        <c:spPr>
          <a:solidFill>
            <a:srgbClr val="FFFF00"/>
          </a:solidFill>
          <a:ln>
            <a:noFill/>
          </a:ln>
          <a:effectLst>
            <a:softEdge rad="0"/>
          </a:effectLst>
        </c:spPr>
      </c:pivotFmt>
      <c:pivotFmt>
        <c:idx val="3"/>
        <c:spPr>
          <a:solidFill>
            <a:srgbClr val="FFFF00"/>
          </a:solidFill>
          <a:ln>
            <a:noFill/>
          </a:ln>
          <a:effectLst>
            <a:softEdge rad="0"/>
          </a:effectLst>
        </c:spPr>
      </c:pivotFmt>
      <c:pivotFmt>
        <c:idx val="4"/>
        <c:spPr>
          <a:solidFill>
            <a:srgbClr val="FFFF00"/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007969806693872"/>
          <c:y val="0.25300707203266254"/>
          <c:w val="0.55426384078236379"/>
          <c:h val="0.6386825605132692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calc!$D$30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>
              <a:softEdge rad="0"/>
            </a:effectLst>
          </c:spPr>
          <c:invertIfNegative val="0"/>
          <c:cat>
            <c:strRef>
              <c:f>calc!$C$31:$C$37</c:f>
              <c:strCache>
                <c:ptCount val="6"/>
                <c:pt idx="0">
                  <c:v>India</c:v>
                </c:pt>
                <c:pt idx="1">
                  <c:v>Australia</c:v>
                </c:pt>
                <c:pt idx="2">
                  <c:v>USA</c:v>
                </c:pt>
                <c:pt idx="3">
                  <c:v>UK</c:v>
                </c:pt>
                <c:pt idx="4">
                  <c:v>Canada</c:v>
                </c:pt>
                <c:pt idx="5">
                  <c:v>New Zealand</c:v>
                </c:pt>
              </c:strCache>
            </c:strRef>
          </c:cat>
          <c:val>
            <c:numRef>
              <c:f>calc!$D$31:$D$37</c:f>
              <c:numCache>
                <c:formatCode>"₹"\ #,##0</c:formatCode>
                <c:ptCount val="6"/>
                <c:pt idx="0">
                  <c:v>132235004.37</c:v>
                </c:pt>
                <c:pt idx="1">
                  <c:v>130269343.19</c:v>
                </c:pt>
                <c:pt idx="2">
                  <c:v>127773644.39</c:v>
                </c:pt>
                <c:pt idx="3">
                  <c:v>121750291.45999999</c:v>
                </c:pt>
                <c:pt idx="4">
                  <c:v>120383424.56</c:v>
                </c:pt>
                <c:pt idx="5">
                  <c:v>117765784.08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1-436A-A8BE-9AE0213E4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50696752"/>
        <c:axId val="1150680432"/>
      </c:barChart>
      <c:catAx>
        <c:axId val="1150696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80432"/>
        <c:crosses val="autoZero"/>
        <c:auto val="1"/>
        <c:lblAlgn val="ctr"/>
        <c:lblOffset val="100"/>
        <c:noMultiLvlLbl val="0"/>
      </c:catAx>
      <c:valAx>
        <c:axId val="115068043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9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[Monthly-Sales-Dashboard.xlsx]calc!PivotTable4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-0.20786154855643044"/>
              <c:y val="-0.123548866043219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rgbClr val="FF0000"/>
            </a:solidFill>
          </a:ln>
          <a:effectLst/>
        </c:spPr>
      </c:pivotFmt>
      <c:pivotFmt>
        <c:idx val="3"/>
        <c:spPr>
          <a:solidFill>
            <a:schemeClr val="accent3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0.10322178477690289"/>
              <c:y val="0.20390815759290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-0.20786154855643044"/>
              <c:y val="-0.123548866043219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0.10322178477690289"/>
              <c:y val="0.20390815759290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-0.20786154855643044"/>
              <c:y val="-0.123548866043219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0.10322178477690289"/>
              <c:y val="0.20390815759290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-0.20786154855643044"/>
              <c:y val="-0.123548866043219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FF0000"/>
            </a:solidFill>
          </a:ln>
          <a:effectLst/>
        </c:spPr>
        <c:dLbl>
          <c:idx val="0"/>
          <c:layout>
            <c:manualLayout>
              <c:x val="0.10322178477690289"/>
              <c:y val="0.20390815759290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solidFill>
              <a:srgbClr val="FF0000"/>
            </a:solidFill>
          </a:ln>
          <a:effectLst/>
          <a:sp3d contourW="25400">
            <a:contourClr>
              <a:srgbClr val="FF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rgbClr val="FF0000"/>
            </a:solidFill>
          </a:ln>
          <a:effectLst/>
          <a:sp3d contourW="25400">
            <a:contourClr>
              <a:srgbClr val="FF0000"/>
            </a:contourClr>
          </a:sp3d>
        </c:spPr>
        <c:dLbl>
          <c:idx val="0"/>
          <c:layout>
            <c:manualLayout>
              <c:x val="-0.20786154855643044"/>
              <c:y val="-0.1235488660432191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rgbClr val="FF0000"/>
            </a:solidFill>
          </a:ln>
          <a:effectLst/>
          <a:sp3d contourW="25400">
            <a:contourClr>
              <a:srgbClr val="FF0000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rgbClr val="FF0000"/>
            </a:solidFill>
          </a:ln>
          <a:effectLst/>
          <a:sp3d contourW="25400">
            <a:contourClr>
              <a:srgbClr val="FF0000"/>
            </a:contourClr>
          </a:sp3d>
        </c:spPr>
        <c:dLbl>
          <c:idx val="0"/>
          <c:layout>
            <c:manualLayout>
              <c:x val="0.10322178477690289"/>
              <c:y val="0.20390815759290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7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75"/>
      <c:rotY val="14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calc!$G$30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rgbClr val="FF0000"/>
                </a:solidFill>
              </a:ln>
              <a:effectLst/>
              <a:sp3d contourW="25400"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2F-40F7-AC57-A3612885B6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rgbClr val="FF0000"/>
                </a:solidFill>
              </a:ln>
              <a:effectLst/>
              <a:sp3d contourW="25400"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2F-40F7-AC57-A3612885B6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rgbClr val="FF0000"/>
                </a:solidFill>
              </a:ln>
              <a:effectLst/>
              <a:sp3d contourW="25400"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2F-40F7-AC57-A3612885B63E}"/>
              </c:ext>
            </c:extLst>
          </c:dPt>
          <c:dLbls>
            <c:dLbl>
              <c:idx val="0"/>
              <c:layout>
                <c:manualLayout>
                  <c:x val="-0.20786154855643044"/>
                  <c:y val="-0.1235488660432191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2F-40F7-AC57-A3612885B63E}"/>
                </c:ext>
              </c:extLst>
            </c:dLbl>
            <c:dLbl>
              <c:idx val="2"/>
              <c:layout>
                <c:manualLayout>
                  <c:x val="0.10322178477690289"/>
                  <c:y val="0.2039081575929014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2F-40F7-AC57-A3612885B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7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calc!$F$31:$F$34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calc!$G$31:$G$34</c:f>
              <c:numCache>
                <c:formatCode>"₹"\ #,##0.0,,"mn"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2F-40F7-AC57-A3612885B63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274825</xdr:colOff>
      <xdr:row>9</xdr:row>
      <xdr:rowOff>39688</xdr:rowOff>
    </xdr:from>
    <xdr:to>
      <xdr:col>6</xdr:col>
      <xdr:colOff>837826</xdr:colOff>
      <xdr:row>24</xdr:row>
      <xdr:rowOff>85408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BE0EE-A080-48DD-B340-CCB267171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1355481</xdr:colOff>
      <xdr:row>8</xdr:row>
      <xdr:rowOff>104493</xdr:rowOff>
    </xdr:from>
    <xdr:to>
      <xdr:col>11</xdr:col>
      <xdr:colOff>650874</xdr:colOff>
      <xdr:row>24</xdr:row>
      <xdr:rowOff>150812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15E367-1675-4F10-90E6-D8AE765BB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0.20977</cdr:x>
      <cdr:y>0.07319</cdr:y>
    </cdr:from>
    <cdr:to>
      <cdr:x>0.40956</cdr:x>
      <cdr:y>0.3985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4A3D68A-604C-7E06-4A13-A1992B1837C7}"/>
            </a:ext>
          </a:extLst>
        </cdr:cNvPr>
        <cdr:cNvSpPr txBox="1"/>
      </cdr:nvSpPr>
      <cdr:spPr>
        <a:xfrm xmlns:a="http://schemas.openxmlformats.org/drawingml/2006/main">
          <a:off x="960120" y="2057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0.24141</cdr:x>
      <cdr:y>0.07319</cdr:y>
    </cdr:from>
    <cdr:to>
      <cdr:x>0.44119</cdr:x>
      <cdr:y>0.3985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B40F6D7-4CDC-D261-95B9-3FEF28BBB3A7}"/>
            </a:ext>
          </a:extLst>
        </cdr:cNvPr>
        <cdr:cNvSpPr txBox="1"/>
      </cdr:nvSpPr>
      <cdr:spPr>
        <a:xfrm xmlns:a="http://schemas.openxmlformats.org/drawingml/2006/main">
          <a:off x="1104900" y="20574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0.65913</cdr:x>
      <cdr:y>0.00601</cdr:y>
    </cdr:from>
    <cdr:to>
      <cdr:x>1</cdr:x>
      <cdr:y>0.24625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643C79E-D1BD-E9B7-6EE0-46C4BF8E7EF2}"/>
            </a:ext>
          </a:extLst>
        </cdr:cNvPr>
        <cdr:cNvSpPr txBox="1"/>
      </cdr:nvSpPr>
      <cdr:spPr>
        <a:xfrm xmlns:a="http://schemas.openxmlformats.org/drawingml/2006/main">
          <a:off x="3761590" y="17929"/>
          <a:ext cx="1945341" cy="717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kern="1200">
              <a:solidFill>
                <a:srgbClr val="FF0000"/>
              </a:solidFill>
            </a:rPr>
            <a:t>sales</a:t>
          </a:r>
          <a:r>
            <a:rPr lang="en-IN" sz="1600" kern="1200" baseline="0">
              <a:solidFill>
                <a:srgbClr val="FF0000"/>
              </a:solidFill>
            </a:rPr>
            <a:t> by category</a:t>
          </a:r>
          <a:endParaRPr lang="en-IN" sz="1600" kern="1200">
            <a:solidFill>
              <a:srgbClr val="FF0000"/>
            </a:solidFill>
          </a:endParaRPr>
        </a:p>
      </cdr:txBody>
    </cdr:sp>
  </cdr:relSizeAnchor>
</c:userShape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29.633167708336" backgroundQuery="1" createdVersion="8" refreshedVersion="8" minRefreshableVersion="3" recordCount="0" supportSubquery="1" supportAdvancedDrill="1" xr:uid="{07747BB1-7EDB-4D3A-8AF3-A312B434A450}">
  <cacheSource type="external" connectionId="1"/>
  <cacheFields count="5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Distinct Count of Sales Person]" caption="Distinct Count of Sales Person" numFmtId="0" hierarchy="11" level="32767"/>
    <cacheField name="[Measures].[avg amount per person]" caption="avg amount per person" numFmtId="0" hierarchy="12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0" memberValueDatatype="130" unbalanced="0"/>
    <cacheHierarchy uniqueName="[choc].[Product]" caption="Product" attribute="1" defaultMemberUniqueName="[choc].[Product].[All]" allUniqueName="[choc].[Product].[All]" dimensionUniqueName="[choc]" displayFolder="" count="0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0" memberValueDatatype="130" unbalanced="0"/>
    <cacheHierarchy uniqueName="[choc].[Date]" caption="Date" attribute="1" time="1" defaultMemberUniqueName="[choc].[Date].[All]" allUniqueName="[choc].[Date].[All]" dimensionUniqueName="[choc]" displayFolder="" count="0" memberValueDatatype="7" unbalanced="0"/>
    <cacheHierarchy uniqueName="[choc].[Amount]" caption="Amount" attribute="1" defaultMemberUniqueName="[choc].[Amount].[All]" allUniqueName="[choc].[Amount].[All]" dimensionUniqueName="[choc]" displayFolder="" count="0" memberValueDatatype="5" unbalanced="0"/>
    <cacheHierarchy uniqueName="[choc].[Boxes]" caption="Boxes" attribute="1" defaultMemberUniqueName="[choc].[Boxes].[All]" allUniqueName="[choc].[Boxes].[All]" dimensionUniqueName="[choc]" displayFolder="" count="0" memberValueDatatype="20" unbalanced="0"/>
    <cacheHierarchy uniqueName="[choc].[Category]" caption="Category" attribute="1" defaultMemberUniqueName="[choc].[Category].[All]" allUniqueName="[choc].[Category].[All]" dimensionUniqueName="[choc]" displayFolder="" count="0" memberValueDatatype="130" unbalanced="0"/>
    <cacheHierarchy uniqueName="[Measures].[Sum of Amount]" caption="Sum of Amount" measure="1" displayFolder="" measureGroup="choc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amount per person]" caption="avg amount per person" measure="1" displayFolder="" measureGroup="choc" count="0" oneField="1">
      <fieldsUsage count="1">
        <fieldUsage x="4"/>
      </fieldsUsage>
    </cacheHierarchy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29.659734259258" backgroundQuery="1" createdVersion="8" refreshedVersion="8" minRefreshableVersion="3" recordCount="0" supportSubquery="1" supportAdvancedDrill="1" xr:uid="{365A6EF2-8D5C-4CD7-AB1D-ECB6E7957B64}">
  <cacheSource type="external" connectionId="1"/>
  <cacheFields count="2">
    <cacheField name="[choc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>
      <fieldsUsage count="2">
        <fieldUsage x="-1"/>
        <fieldUsage x="0"/>
      </fieldsUsage>
    </cacheHierarchy>
    <cacheHierarchy uniqueName="[choc].[Product]" caption="Product" attribute="1" defaultMemberUniqueName="[choc].[Product].[All]" allUniqueName="[choc].[Product].[All]" dimensionUniqueName="[choc]" displayFolder="" count="2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2" memberValueDatatype="130" unbalanced="0"/>
    <cacheHierarchy uniqueName="[choc].[Date]" caption="Date" attribute="1" time="1" defaultMemberUniqueName="[choc].[Date].[All]" allUniqueName="[choc].[Date].[All]" dimensionUniqueName="[choc]" displayFolder="" count="2" memberValueDatatype="7" unbalanced="0"/>
    <cacheHierarchy uniqueName="[choc].[Amount]" caption="Amount" attribute="1" defaultMemberUniqueName="[choc].[Amount].[All]" allUniqueName="[choc].[Amount].[All]" dimensionUniqueName="[choc]" displayFolder="" count="2" memberValueDatatype="5" unbalanced="0"/>
    <cacheHierarchy uniqueName="[choc].[Boxes]" caption="Boxes" attribute="1" defaultMemberUniqueName="[choc].[Boxes].[All]" allUniqueName="[choc].[Boxes].[All]" dimensionUniqueName="[choc]" displayFolder="" count="2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/>
    <cacheHierarchy uniqueName="[Measures].[Sum of Amount]" caption="Sum of Amount" measure="1" displayFolder="" measureGroup="choc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amount per person]" caption="avg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30.431636805559" backgroundQuery="1" createdVersion="8" refreshedVersion="8" minRefreshableVersion="3" recordCount="0" supportSubquery="1" supportAdvancedDrill="1" xr:uid="{613943BA-3381-4FD0-A5C9-3FC5BBD7A600}">
  <cacheSource type="external" connectionId="1"/>
  <cacheFields count="2">
    <cacheField name="[Measures].[Sum of Amount]" caption="Sum of Amount" numFmtId="0" hierarchy="7" level="32767"/>
    <cacheField name="[choc].[Category].[Category]" caption="Category" numFmtId="0" hierarchy="6" level="1">
      <sharedItems count="3">
        <s v="Bars"/>
        <s v="Bites"/>
        <s v="Other"/>
      </sharedItems>
    </cacheField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/>
    <cacheHierarchy uniqueName="[choc].[Product]" caption="Product" attribute="1" defaultMemberUniqueName="[choc].[Product].[All]" allUniqueName="[choc].[Product].[All]" dimensionUniqueName="[choc]" displayFolder="" count="2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2" memberValueDatatype="130" unbalanced="0"/>
    <cacheHierarchy uniqueName="[choc].[Date]" caption="Date" attribute="1" time="1" defaultMemberUniqueName="[choc].[Date].[All]" allUniqueName="[choc].[Date].[All]" dimensionUniqueName="[choc]" displayFolder="" count="2" memberValueDatatype="7" unbalanced="0"/>
    <cacheHierarchy uniqueName="[choc].[Amount]" caption="Amount" attribute="1" defaultMemberUniqueName="[choc].[Amount].[All]" allUniqueName="[choc].[Amount].[All]" dimensionUniqueName="[choc]" displayFolder="" count="2" memberValueDatatype="5" unbalanced="0"/>
    <cacheHierarchy uniqueName="[choc].[Boxes]" caption="Boxes" attribute="1" defaultMemberUniqueName="[choc].[Boxes].[All]" allUniqueName="[choc].[Boxes].[All]" dimensionUniqueName="[choc]" displayFolder="" count="2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>
      <fieldsUsage count="2">
        <fieldUsage x="-1"/>
        <fieldUsage x="1"/>
      </fieldsUsage>
    </cacheHierarchy>
    <cacheHierarchy uniqueName="[Measures].[Sum of Amount]" caption="Sum of Amount" measure="1" displayFolder="" measureGroup="choc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amount per person]" caption="avg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30.447439814816" backgroundQuery="1" createdVersion="8" refreshedVersion="8" minRefreshableVersion="3" recordCount="0" supportSubquery="1" supportAdvancedDrill="1" xr:uid="{86CABD5C-7B7A-4B2F-AFE4-88EC9E5596F1}">
  <cacheSource type="external" connectionId="1"/>
  <cacheFields count="4">
    <cacheField name="[Measures].[Sum of Amount]" caption="Sum of Amount" numFmtId="0" hierarchy="7" level="32767"/>
    <cacheField name="[choc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  <cacheField name="[Measures].[Count of Product]" caption="Count of Product" numFmtId="0" hierarchy="9" level="32767"/>
  </cacheFields>
  <cacheHierarchies count="15">
    <cacheHierarchy uniqueName="[choc].[Country]" caption="Country" attribute="1" defaultMemberUniqueName="[choc].[Country].[All]" allUniqueName="[choc].[Country].[All]" dimensionUniqueName="[choc]" displayFolder="" count="2" memberValueDatatype="130" unbalanced="0"/>
    <cacheHierarchy uniqueName="[choc].[Product]" caption="Product" attribute="1" defaultMemberUniqueName="[choc].[Product].[All]" allUniqueName="[choc].[Product].[All]" dimensionUniqueName="[choc]" displayFolder="" count="2" memberValueDatatype="130" unbalanced="0"/>
    <cacheHierarchy uniqueName="[choc].[Sales Person]" caption="Sales Person" attribute="1" defaultMemberUniqueName="[choc].[Sales Person].[All]" allUniqueName="[choc].[Sales Person].[All]" dimensionUniqueName="[choc]" displayFolder="" count="2" memberValueDatatype="130" unbalanced="0">
      <fieldsUsage count="2">
        <fieldUsage x="-1"/>
        <fieldUsage x="1"/>
      </fieldsUsage>
    </cacheHierarchy>
    <cacheHierarchy uniqueName="[choc].[Date]" caption="Date" attribute="1" time="1" defaultMemberUniqueName="[choc].[Date].[All]" allUniqueName="[choc].[Date].[All]" dimensionUniqueName="[choc]" displayFolder="" count="2" memberValueDatatype="7" unbalanced="0"/>
    <cacheHierarchy uniqueName="[choc].[Amount]" caption="Amount" attribute="1" defaultMemberUniqueName="[choc].[Amount].[All]" allUniqueName="[choc].[Amount].[All]" dimensionUniqueName="[choc]" displayFolder="" count="2" memberValueDatatype="5" unbalanced="0"/>
    <cacheHierarchy uniqueName="[choc].[Boxes]" caption="Boxes" attribute="1" defaultMemberUniqueName="[choc].[Boxes].[All]" allUniqueName="[choc].[Boxes].[All]" dimensionUniqueName="[choc]" displayFolder="" count="2" memberValueDatatype="20" unbalanced="0"/>
    <cacheHierarchy uniqueName="[choc].[Category]" caption="Category" attribute="1" defaultMemberUniqueName="[choc].[Category].[All]" allUniqueName="[choc].[Category].[All]" dimensionUniqueName="[choc]" displayFolder="" count="2" memberValueDatatype="130" unbalanced="0"/>
    <cacheHierarchy uniqueName="[Measures].[Sum of Amount]" caption="Sum of Amount" measure="1" displayFolder="" measureGroup="choc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Sales Person]" caption="Distinct Count of Sales Person" measure="1" displayFolder="" measureGroup="choc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g amount per person]" caption="avg amount per person" measure="1" displayFolder="" measureGroup="choc" count="0"/>
    <cacheHierarchy uniqueName="[Measures].[__XL_Count choc]" caption="__XL_Count choc" measure="1" displayFolder="" measureGroup="choc" count="0" hidden="1"/>
    <cacheHierarchy uniqueName="[Measures].[__No measures defined]" caption="__No measures defined" measure="1" displayFolder="" count="0" hidden="1"/>
  </cacheHierarchies>
  <kpis count="0"/>
  <dimensions count="2">
    <dimension name="choc" uniqueName="[choc]" caption="choc"/>
    <dimension measure="1" name="Measures" uniqueName="[Measures]" caption="Measures"/>
  </dimensions>
  <measureGroups count="1">
    <measureGroup name="choc" caption="choc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1D71E-ABCB-4BD9-AC43-71753C85DC4F}" name="PivotTable4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8">
  <location ref="F30:G3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GEOGRAPHY" fld="0" baseField="0" baseItem="0" numFmtId="168"/>
  </dataFields>
  <formats count="5">
    <format dxfId="4">
      <pivotArea grandRow="1" outline="0" collapsedLevelsAreSubtotals="1" fieldPosition="0"/>
    </format>
    <format dxfId="3">
      <pivotArea collapsedLevelsAreSubtotals="1" fieldPosition="0">
        <references count="1">
          <reference field="1" count="1">
            <x v="0"/>
          </reference>
        </references>
      </pivotArea>
    </format>
    <format dxfId="2">
      <pivotArea collapsedLevelsAreSubtotals="1" fieldPosition="0">
        <references count="1">
          <reference field="1" count="1">
            <x v="1"/>
          </reference>
        </references>
      </pivotArea>
    </format>
    <format dxfId="1">
      <pivotArea collapsedLevelsAreSubtotals="1" fieldPosition="0">
        <references count="1">
          <reference field="1" count="1">
            <x v="2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 BY GEOGRAPHY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629BE-3464-4093-A232-2062A413A7C8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7">
  <location ref="C30:D37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2"/>
    </i>
    <i>
      <x/>
    </i>
    <i>
      <x v="5"/>
    </i>
    <i>
      <x v="4"/>
    </i>
    <i>
      <x v="1"/>
    </i>
    <i>
      <x v="3"/>
    </i>
    <i t="grand">
      <x/>
    </i>
  </rowItems>
  <colItems count="1">
    <i/>
  </colItems>
  <dataFields count="1">
    <dataField name="SALES BY GEOGRAPHY" fld="1" baseField="0" baseItem="2"/>
  </dataFields>
  <formats count="7">
    <format dxfId="11">
      <pivotArea collapsedLevelsAreSubtotals="1" fieldPosition="0">
        <references count="1">
          <reference field="0" count="1">
            <x v="2"/>
          </reference>
        </references>
      </pivotArea>
    </format>
    <format dxfId="10">
      <pivotArea collapsedLevelsAreSubtotals="1" fieldPosition="0">
        <references count="1">
          <reference field="0" count="1">
            <x v="0"/>
          </reference>
        </references>
      </pivotArea>
    </format>
    <format dxfId="9">
      <pivotArea collapsedLevelsAreSubtotals="1" fieldPosition="0">
        <references count="1">
          <reference field="0" count="1">
            <x v="5"/>
          </reference>
        </references>
      </pivotArea>
    </format>
    <format dxfId="8">
      <pivotArea collapsedLevelsAreSubtotals="1" fieldPosition="0">
        <references count="1">
          <reference field="0" count="1">
            <x v="4"/>
          </reference>
        </references>
      </pivotArea>
    </format>
    <format dxfId="7">
      <pivotArea collapsedLevelsAreSubtotals="1" fieldPosition="0">
        <references count="1">
          <reference field="0" count="1">
            <x v="1"/>
          </reference>
        </references>
      </pivotArea>
    </format>
    <format dxfId="6">
      <pivotArea collapsedLevelsAreSubtotals="1" fieldPosition="0">
        <references count="1">
          <reference field="0" count="1">
            <x v="3"/>
          </reference>
        </references>
      </pivotArea>
    </format>
    <format dxfId="5">
      <pivotArea grandRow="1" outline="0" collapsedLevelsAreSubtotals="1" fieldPosition="0"/>
    </format>
  </format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 BY GEOGRAPHY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30695-CC02-4DF8-A701-4BF9390271AE}" name="PivotTable3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6">
  <location ref="N36:Q62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ALES BY GEOGRAPHY" fld="0" baseField="0" baseItem="0" numFmtId="168"/>
    <dataField name="Sum of Boxes" fld="2" baseField="0" baseItem="0"/>
    <dataField name="Count of Product" fld="3" subtotal="count" baseField="0" baseItem="0"/>
  </dataFields>
  <formats count="2">
    <format dxfId="13">
      <pivotArea grandRow="1" outline="0" collapsedLevelsAreSubtotals="1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LES BY GEOGRAPHY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E7EB6-C4A5-4E3D-AF1C-2C2B5A09A5B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7:G8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mount" fld="0" baseField="0" baseItem="0" numFmtId="167"/>
    <dataField name="Sum of Boxes" fld="1" baseField="0" baseItem="0" numFmtId="1"/>
    <dataField name="Count of Product" fld="2" subtotal="count" baseField="0" baseItem="0"/>
    <dataField name="Distinct Count of Sales Person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fld="4" subtotal="count" baseField="0" baseItem="0"/>
  </dataFields>
  <formats count="1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">
        <x15:activeTabTopLevelEntity name="[choc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47957-64B5-435F-A9EE-1224E893DC45}" name="choc" displayName="choc" ref="C4:I1804" totalsRowShown="0" headerRowDxfId="20" headerRowBorderDxfId="19">
  <autoFilter ref="C4:I1804" xr:uid="{C6B47957-64B5-435F-A9EE-1224E893DC45}"/>
  <tableColumns count="7">
    <tableColumn id="1" xr3:uid="{C72E068C-B02A-4E1B-A56C-7099CB909F68}" name="Country"/>
    <tableColumn id="2" xr3:uid="{1522E201-5626-4805-9794-8916C1C9ECAC}" name="Product"/>
    <tableColumn id="3" xr3:uid="{C5747577-C052-4F29-9847-C6EF408B08DD}" name="Sales Person"/>
    <tableColumn id="4" xr3:uid="{A38890AF-437F-4F08-A9AF-4CA7B12A74AE}" name="Date" dataDxfId="18"/>
    <tableColumn id="5" xr3:uid="{E9387630-6D5F-410C-A0CB-53F0B3D8BB33}" name="Amount" dataDxfId="17"/>
    <tableColumn id="6" xr3:uid="{6C0CE6BA-A566-458A-81CA-95D552D788A4}" name="Boxes" dataDxfId="16"/>
    <tableColumn id="7" xr3:uid="{3C536B3C-3443-4AEB-8D20-EC41A7B19160}" name="Category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B31" workbookViewId="0">
      <selection activeCell="N55" sqref="N55"/>
    </sheetView>
  </sheetViews>
  <sheetFormatPr defaultRowHeight="15" x14ac:dyDescent="0.35"/>
  <cols>
    <col min="1" max="1" width="1.54296875" customWidth="1"/>
    <col min="2" max="2" width="3.54296875" customWidth="1"/>
    <col min="3" max="3" width="38.81640625" customWidth="1"/>
    <col min="4" max="4" width="20.08984375" customWidth="1"/>
    <col min="5" max="5" width="23.26953125" customWidth="1"/>
    <col min="6" max="6" width="9.7265625" customWidth="1"/>
    <col min="7" max="7" width="10.1796875" customWidth="1"/>
    <col min="8" max="8" width="7.6328125" customWidth="1"/>
    <col min="9" max="9" width="10.26953125" customWidth="1"/>
  </cols>
  <sheetData>
    <row r="1" spans="1:9" s="1" customFormat="1" ht="52.5" customHeight="1" x14ac:dyDescent="0.35">
      <c r="A1" s="3"/>
      <c r="C1" s="2"/>
    </row>
    <row r="4" spans="1:9" x14ac:dyDescent="0.35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3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3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35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35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35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35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35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35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35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35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35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35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35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35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35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35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35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35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35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35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35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35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35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35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35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35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35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35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35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35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35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35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35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35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35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35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35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35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35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35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35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35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35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35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35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35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35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35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35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35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35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35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35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35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35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35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35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35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35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35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35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35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35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35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35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35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35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35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35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35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35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35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35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35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35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35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35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35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35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35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35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35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35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35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35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35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35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35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35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35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35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35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35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35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35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35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35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35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35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35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35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35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35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35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35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35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35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35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35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35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35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35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35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35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35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35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35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35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35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35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35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35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35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35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35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35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35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35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35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35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35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35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35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35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35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35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35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35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35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35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35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35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35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35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35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35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35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35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35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35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35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35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35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35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35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35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35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35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35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35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35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35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35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35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35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35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35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35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35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35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35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35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35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35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35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35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35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35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35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35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35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35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35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35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35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35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35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35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35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35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35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35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35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35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35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35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35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35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35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35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35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35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35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35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35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35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35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35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35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35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35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35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35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35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35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35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35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35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35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35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35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35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35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35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35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35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35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35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35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35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35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35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35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35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35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35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35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35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35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35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35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35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35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35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35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35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35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35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35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35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35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35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35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35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35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35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35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35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35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35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35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35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35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35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35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35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35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35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35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35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35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35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35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35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35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35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35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35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35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35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35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35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35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35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35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35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35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35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35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35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35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35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35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35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35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35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35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35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35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35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35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35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35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35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35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35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35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35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35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35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35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35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35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35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35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35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35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35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35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35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35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35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35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35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35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35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35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35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35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35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35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35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35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35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35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35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35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35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35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35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35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35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35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35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35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35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35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35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35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35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35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35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35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35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35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35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35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35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35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35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35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35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35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35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35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35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35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35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35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35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35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35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35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35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35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35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35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35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35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35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35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35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35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35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35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35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35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35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35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35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35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35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35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35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35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35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35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35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35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35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35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35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35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35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35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35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35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35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35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35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35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35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35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35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35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35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35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35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35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35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35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35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35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35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35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35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35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35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35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35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35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35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35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35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35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35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35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35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35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35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35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35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35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35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35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35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35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35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35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35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35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35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35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35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35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35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35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35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35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35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35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35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35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35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35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35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35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35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35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35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35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35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35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35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35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35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35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35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35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35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35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35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35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35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35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35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35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35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35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35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35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35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35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35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35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35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35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35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35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35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35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35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35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35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35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35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35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35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35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35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35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35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35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35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35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35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35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35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35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35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35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35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35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35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35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35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35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35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35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35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35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35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35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35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35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35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35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35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35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35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35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35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35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35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35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35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35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35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35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35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35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35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35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35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35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35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35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35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35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35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35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35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35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35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35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35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35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35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35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35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35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35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35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35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35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35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35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35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35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35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35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35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35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35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35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35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35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35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35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35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35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35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35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35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35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35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35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35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35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35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35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35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35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35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35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35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35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35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35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35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35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35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35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35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35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35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35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35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35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35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35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35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35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35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35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35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35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35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35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35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35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35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35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35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35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35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35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35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35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35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35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35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35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35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35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35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35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35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35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35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35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35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35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35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35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35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35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35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35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35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35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35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35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35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35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35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35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35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35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35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35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35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35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35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35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35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35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35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35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35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35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35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35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35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35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35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35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35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35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35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35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35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35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35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35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35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35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35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35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35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35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35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35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35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35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35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35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35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35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35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35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35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35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35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35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35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35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35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35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35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35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35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35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35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35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35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35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35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3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3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35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35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35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35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35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35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35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35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35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35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35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35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35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35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35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35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35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35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35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35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35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35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35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35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35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35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35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35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35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35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35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35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35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35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35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35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35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35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35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35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35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35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35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35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35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35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35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35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35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35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35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35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35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35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35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35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35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35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35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35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35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35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35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35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35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35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35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35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35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35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35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35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35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35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35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35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35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35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35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35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35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35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35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35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35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35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35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35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35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35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35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35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35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35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35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35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35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35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35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35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35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35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35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35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35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35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35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35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35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35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35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35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35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35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35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35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35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35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35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35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35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35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35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35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35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35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35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35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35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35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35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35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35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35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35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35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35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35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35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35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35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35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35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35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35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35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35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35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35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35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35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35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35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35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35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35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35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35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35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35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35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35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35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35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35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35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35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35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35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35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35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35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35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35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35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35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35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35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35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35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35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35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35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35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35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35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35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35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35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35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35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35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35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35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35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35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35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35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35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35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35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35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35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35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35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35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35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35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35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35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35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35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35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35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35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35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35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35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35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35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35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35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35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35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35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35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35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35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35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35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35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35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35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35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35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35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35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35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35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35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35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35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35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35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35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35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35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35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35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35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35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35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35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35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35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35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35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35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35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35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35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35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35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35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35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35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35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35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35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35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35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35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35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35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35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35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35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35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35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35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35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35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35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35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35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35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35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35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35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35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35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35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35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35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35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35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35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35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35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35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35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35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35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35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35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35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35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35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35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35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35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35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35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35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35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35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35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35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35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35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35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35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35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35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35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35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35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35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35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35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35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35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35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35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35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35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35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35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35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35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35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35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35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35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35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35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35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35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35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35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35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35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35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35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35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35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35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35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35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35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35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35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35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35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35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35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35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35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35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35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35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35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35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35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35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35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35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35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35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35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35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35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35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35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35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35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35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35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35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35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35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35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35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35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35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35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35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35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35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35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35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35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35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35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35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35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35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35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35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35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35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35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35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35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35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35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35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35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35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35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35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35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35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35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35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35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35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35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35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35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35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35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35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35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35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35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35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35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35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35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35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35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35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35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35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35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35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35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35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35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35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35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35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35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35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35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35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35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35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35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35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35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35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35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35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35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35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35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35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35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35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35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35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35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35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35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35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35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35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35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35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35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35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35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35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35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35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35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35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35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35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35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35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35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35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35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35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35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35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35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35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35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35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35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35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35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35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35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35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35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35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35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35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35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35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35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35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35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35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35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35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35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35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35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35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35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35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35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35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35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35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35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35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35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35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35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35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35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35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35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35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35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35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35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35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35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35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35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35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35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35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35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35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35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35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35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35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35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35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35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35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35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35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35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35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35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35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35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35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35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35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35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35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35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35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35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35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35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35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35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35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35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35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35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35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35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35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35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35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35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35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35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35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35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35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35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35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35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35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35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35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35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35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35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35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35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35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35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35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35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35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35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35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35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35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35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35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35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35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35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35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35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35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35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35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35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35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35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35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35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35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35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35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35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35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35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35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35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35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35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35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35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35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35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35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35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35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35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35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35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35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35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35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35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35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35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35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35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35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35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35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35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35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35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35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35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35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35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35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35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35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35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35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35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35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35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35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35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35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35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35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35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35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35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35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35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35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35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35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35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35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35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35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35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35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35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35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35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35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35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35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35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35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35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3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3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3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35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35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35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35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35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35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35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35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35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35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35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35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35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35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35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35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35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35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35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35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35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35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35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35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35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35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35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35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35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35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35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35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35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35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35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35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35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35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35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35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35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35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35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35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35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35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35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35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35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35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35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35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35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35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35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35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35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35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35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35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35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35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35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35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35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35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35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35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35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35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35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35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35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35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35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35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35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35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35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35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35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35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35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35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35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35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35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35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35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35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35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35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35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35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35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35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35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35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35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35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35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35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35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35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35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35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35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35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35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35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35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35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35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35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35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35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35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35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35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35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35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35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35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35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35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35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35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35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35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35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35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35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35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35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35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35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35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35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35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35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35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35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35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35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35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35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35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35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35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35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35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35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35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35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35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35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35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35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35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35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35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35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35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35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35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35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35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35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35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35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35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35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35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35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35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35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35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35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35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35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35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35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35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35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35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35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35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35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35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35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35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35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35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35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35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35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35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35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35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35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35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35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35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35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35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35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35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35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35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35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35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35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35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35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35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35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35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35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35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35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35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35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35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35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35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35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35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35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35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35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35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35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35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35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35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35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35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35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35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35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35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35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35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35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35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35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35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35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35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35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35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35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35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35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35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35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35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35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35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35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35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35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35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35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35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35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35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35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35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35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35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35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35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35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35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35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35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35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35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35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35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35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35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35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35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35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35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35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35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35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35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35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35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35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35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35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35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35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35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35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35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35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35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35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35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35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35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35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35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35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35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35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35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35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35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35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35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35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35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35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35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35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35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35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35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35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35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35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35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35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35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35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35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35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35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35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35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35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35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35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35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35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35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35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35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35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35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35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35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35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35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35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35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35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35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35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35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35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35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35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35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35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3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DEBA8-9C1A-4C6E-ABE3-25B20A1B97ED}">
  <dimension ref="C3:I52"/>
  <sheetViews>
    <sheetView tabSelected="1" topLeftCell="A2" zoomScale="112" zoomScaleNormal="112" workbookViewId="0">
      <selection activeCell="B2" sqref="B2"/>
    </sheetView>
  </sheetViews>
  <sheetFormatPr defaultRowHeight="15" x14ac:dyDescent="0.35"/>
  <cols>
    <col min="1" max="1" width="4" customWidth="1"/>
    <col min="2" max="2" width="4.453125" customWidth="1"/>
    <col min="3" max="3" width="29.54296875" customWidth="1"/>
    <col min="4" max="4" width="3" customWidth="1"/>
    <col min="5" max="5" width="32.7265625" customWidth="1"/>
    <col min="6" max="6" width="6.54296875" customWidth="1"/>
    <col min="7" max="7" width="30.453125" customWidth="1"/>
    <col min="8" max="8" width="3.26953125" customWidth="1"/>
    <col min="9" max="9" width="33.6328125" customWidth="1"/>
  </cols>
  <sheetData>
    <row r="3" spans="3:9" ht="24" x14ac:dyDescent="0.5">
      <c r="E3" s="30" t="s">
        <v>75</v>
      </c>
      <c r="F3" s="31"/>
      <c r="G3" s="31"/>
      <c r="H3" s="31"/>
      <c r="I3" s="31"/>
    </row>
    <row r="4" spans="3:9" x14ac:dyDescent="0.35">
      <c r="G4" s="14"/>
    </row>
    <row r="5" spans="3:9" ht="35.4" customHeight="1" x14ac:dyDescent="0.35"/>
    <row r="6" spans="3:9" ht="36.6" customHeight="1" x14ac:dyDescent="0.35">
      <c r="C6" s="29" t="s">
        <v>70</v>
      </c>
      <c r="E6" s="29" t="s">
        <v>71</v>
      </c>
      <c r="G6" s="29" t="s">
        <v>72</v>
      </c>
      <c r="I6" s="29" t="s">
        <v>73</v>
      </c>
    </row>
    <row r="7" spans="3:9" ht="31.2" customHeight="1" x14ac:dyDescent="0.35">
      <c r="C7" s="27">
        <f>GETPIVOTDATA("[Measures].[Sum of Amount]",calc!$C$7)</f>
        <v>750177492.04999995</v>
      </c>
      <c r="D7" s="15"/>
      <c r="E7" s="28">
        <f>GETPIVOTDATA("[Measures].[Sum of Boxes]",calc!$C$7)</f>
        <v>669020</v>
      </c>
      <c r="F7" s="15"/>
      <c r="G7" s="28">
        <f>GETPIVOTDATA("[Measures].[Count of Product]",calc!$C$7)</f>
        <v>1800</v>
      </c>
      <c r="H7" s="15"/>
      <c r="I7" s="27">
        <f>GETPIVOTDATA("[Measures].[avg amount per person]",calc!$C$7)</f>
        <v>30007099.681999996</v>
      </c>
    </row>
    <row r="26" spans="3:9" ht="18.600000000000001" x14ac:dyDescent="0.4">
      <c r="E26" s="17"/>
    </row>
    <row r="27" spans="3:9" ht="28.2" x14ac:dyDescent="0.5">
      <c r="C27" s="21" t="str">
        <f>calc!N36</f>
        <v>Row Labels</v>
      </c>
      <c r="D27" s="22"/>
      <c r="E27" s="23" t="str">
        <f>calc!O36</f>
        <v>SALES BY GEOGRAPHY</v>
      </c>
      <c r="F27" s="22"/>
      <c r="G27" s="24" t="str">
        <f>calc!P36</f>
        <v>Sum of Boxes</v>
      </c>
      <c r="H27" s="22"/>
      <c r="I27" s="25" t="str">
        <f>calc!Q36</f>
        <v>Count of Product</v>
      </c>
    </row>
    <row r="28" spans="3:9" x14ac:dyDescent="0.35">
      <c r="C28" s="18" t="str">
        <f>calc!N37</f>
        <v>Devrat Damarsingh</v>
      </c>
      <c r="D28" s="18">
        <f>_xlfn.RANK.AVG(E29,E29:E52,0)</f>
        <v>5</v>
      </c>
      <c r="E28" s="26">
        <f>calc!O37</f>
        <v>33361933.710000001</v>
      </c>
      <c r="F28" s="18"/>
      <c r="G28" s="19">
        <f>calc!P37</f>
        <v>30608</v>
      </c>
      <c r="H28" s="18"/>
      <c r="I28" s="20">
        <f>calc!Q37</f>
        <v>77</v>
      </c>
    </row>
    <row r="29" spans="3:9" x14ac:dyDescent="0.35">
      <c r="C29" s="18" t="str">
        <f>calc!N38</f>
        <v>Devsena Veluvalapalli</v>
      </c>
      <c r="D29" s="18">
        <f t="shared" ref="D29:D52" si="0">_xlfn.RANK.AVG(E30,E30:E53,0)</f>
        <v>1</v>
      </c>
      <c r="E29" s="26">
        <f>calc!O38</f>
        <v>34520948.560000002</v>
      </c>
      <c r="F29" s="18"/>
      <c r="G29" s="19">
        <f>calc!P38</f>
        <v>33282</v>
      </c>
      <c r="H29" s="18"/>
      <c r="I29" s="20">
        <f>calc!Q38</f>
        <v>76</v>
      </c>
    </row>
    <row r="30" spans="3:9" x14ac:dyDescent="0.35">
      <c r="C30" s="18" t="str">
        <f>calc!N39</f>
        <v>Dinanath Simhambhatla</v>
      </c>
      <c r="D30" s="18">
        <f t="shared" si="0"/>
        <v>17</v>
      </c>
      <c r="E30" s="26">
        <f>calc!O39</f>
        <v>37033915.729999997</v>
      </c>
      <c r="F30" s="18"/>
      <c r="G30" s="19">
        <f>calc!P39</f>
        <v>30805</v>
      </c>
      <c r="H30" s="18"/>
      <c r="I30" s="20">
        <f>calc!Q39</f>
        <v>81</v>
      </c>
    </row>
    <row r="31" spans="3:9" x14ac:dyDescent="0.35">
      <c r="C31" s="18" t="str">
        <f>calc!N40</f>
        <v>Duran Appala</v>
      </c>
      <c r="D31" s="18">
        <f t="shared" si="0"/>
        <v>15</v>
      </c>
      <c r="E31" s="26">
        <f>calc!O40</f>
        <v>26761926.66</v>
      </c>
      <c r="F31" s="18"/>
      <c r="G31" s="19">
        <f>calc!P40</f>
        <v>24550</v>
      </c>
      <c r="H31" s="18"/>
      <c r="I31" s="20">
        <f>calc!Q40</f>
        <v>71</v>
      </c>
    </row>
    <row r="32" spans="3:9" x14ac:dyDescent="0.35">
      <c r="C32" s="18" t="str">
        <f>calc!N41</f>
        <v>Gopal Venkata</v>
      </c>
      <c r="D32" s="18">
        <f t="shared" si="0"/>
        <v>4</v>
      </c>
      <c r="E32" s="26">
        <f>calc!O41</f>
        <v>27533038.050000001</v>
      </c>
      <c r="F32" s="18"/>
      <c r="G32" s="19">
        <f>calc!P41</f>
        <v>23645</v>
      </c>
      <c r="H32" s="18"/>
      <c r="I32" s="20">
        <f>calc!Q41</f>
        <v>70</v>
      </c>
    </row>
    <row r="33" spans="3:9" x14ac:dyDescent="0.35">
      <c r="C33" s="18" t="str">
        <f>calc!N42</f>
        <v>Gowri Sankar Chakrala</v>
      </c>
      <c r="D33" s="18">
        <f t="shared" si="0"/>
        <v>13</v>
      </c>
      <c r="E33" s="26">
        <f>calc!O42</f>
        <v>34079381.979999997</v>
      </c>
      <c r="F33" s="18"/>
      <c r="G33" s="19">
        <f>calc!P42</f>
        <v>30966</v>
      </c>
      <c r="H33" s="18"/>
      <c r="I33" s="20">
        <f>calc!Q42</f>
        <v>80</v>
      </c>
    </row>
    <row r="34" spans="3:9" x14ac:dyDescent="0.35">
      <c r="C34" s="18" t="str">
        <f>calc!N43</f>
        <v>Jaipal Potanapudi</v>
      </c>
      <c r="D34" s="18">
        <f t="shared" si="0"/>
        <v>17</v>
      </c>
      <c r="E34" s="26">
        <f>calc!O43</f>
        <v>28619175.760000002</v>
      </c>
      <c r="F34" s="18"/>
      <c r="G34" s="19">
        <f>calc!P43</f>
        <v>25820</v>
      </c>
      <c r="H34" s="18"/>
      <c r="I34" s="20">
        <f>calc!Q43</f>
        <v>65</v>
      </c>
    </row>
    <row r="35" spans="3:9" x14ac:dyDescent="0.35">
      <c r="C35" s="18" t="str">
        <f>calc!N44</f>
        <v>John Joseph</v>
      </c>
      <c r="D35" s="18">
        <f t="shared" si="0"/>
        <v>4</v>
      </c>
      <c r="E35" s="26">
        <f>calc!O44</f>
        <v>21653834.16</v>
      </c>
      <c r="F35" s="18"/>
      <c r="G35" s="19">
        <f>calc!P44</f>
        <v>19025</v>
      </c>
      <c r="H35" s="18"/>
      <c r="I35" s="20">
        <f>calc!Q44</f>
        <v>62</v>
      </c>
    </row>
    <row r="36" spans="3:9" x14ac:dyDescent="0.35">
      <c r="C36" s="18" t="str">
        <f>calc!N45</f>
        <v>Lalitchandra Vadali</v>
      </c>
      <c r="D36" s="18">
        <f t="shared" si="0"/>
        <v>10</v>
      </c>
      <c r="E36" s="26">
        <f>calc!O45</f>
        <v>32413454.289999999</v>
      </c>
      <c r="F36" s="18"/>
      <c r="G36" s="19">
        <f>calc!P45</f>
        <v>28964</v>
      </c>
      <c r="H36" s="18"/>
      <c r="I36" s="20">
        <f>calc!Q45</f>
        <v>78</v>
      </c>
    </row>
    <row r="37" spans="3:9" x14ac:dyDescent="0.35">
      <c r="C37" s="18" t="str">
        <f>calc!N46</f>
        <v>Mayur Kousika</v>
      </c>
      <c r="D37" s="18">
        <f t="shared" si="0"/>
        <v>13</v>
      </c>
      <c r="E37" s="26">
        <f>calc!O46</f>
        <v>30142629.16</v>
      </c>
      <c r="F37" s="18"/>
      <c r="G37" s="19">
        <f>calc!P46</f>
        <v>26993</v>
      </c>
      <c r="H37" s="18"/>
      <c r="I37" s="20">
        <f>calc!Q46</f>
        <v>70</v>
      </c>
    </row>
    <row r="38" spans="3:9" x14ac:dyDescent="0.35">
      <c r="C38" s="18" t="str">
        <f>calc!N47</f>
        <v>Nazeer Basha Mustafa</v>
      </c>
      <c r="D38" s="18">
        <f t="shared" si="0"/>
        <v>9</v>
      </c>
      <c r="E38" s="26">
        <f>calc!O47</f>
        <v>24271402.609999999</v>
      </c>
      <c r="F38" s="18"/>
      <c r="G38" s="19">
        <f>calc!P47</f>
        <v>20573</v>
      </c>
      <c r="H38" s="18"/>
      <c r="I38" s="20">
        <f>calc!Q47</f>
        <v>70</v>
      </c>
    </row>
    <row r="39" spans="3:9" x14ac:dyDescent="0.35">
      <c r="C39" s="18" t="str">
        <f>calc!N48</f>
        <v>Oorjit Nandanavanam</v>
      </c>
      <c r="D39" s="18">
        <f t="shared" si="0"/>
        <v>8</v>
      </c>
      <c r="E39" s="26">
        <f>calc!O48</f>
        <v>30175070.66</v>
      </c>
      <c r="F39" s="18"/>
      <c r="G39" s="19">
        <f>calc!P48</f>
        <v>28141</v>
      </c>
      <c r="H39" s="18"/>
      <c r="I39" s="20">
        <f>calc!Q48</f>
        <v>77</v>
      </c>
    </row>
    <row r="40" spans="3:9" x14ac:dyDescent="0.35">
      <c r="C40" s="18" t="str">
        <f>calc!N49</f>
        <v>Parasuramudu Jamakayala</v>
      </c>
      <c r="D40" s="18">
        <f t="shared" si="0"/>
        <v>5</v>
      </c>
      <c r="E40" s="26">
        <f>calc!O49</f>
        <v>30316625.920000002</v>
      </c>
      <c r="F40" s="18"/>
      <c r="G40" s="19">
        <f>calc!P49</f>
        <v>26096</v>
      </c>
      <c r="H40" s="18"/>
      <c r="I40" s="20">
        <f>calc!Q49</f>
        <v>70</v>
      </c>
    </row>
    <row r="41" spans="3:9" x14ac:dyDescent="0.35">
      <c r="C41" s="18" t="str">
        <f>calc!N50</f>
        <v>Ponnan Delhi</v>
      </c>
      <c r="D41" s="18">
        <f t="shared" si="0"/>
        <v>11</v>
      </c>
      <c r="E41" s="26">
        <f>calc!O50</f>
        <v>32136174</v>
      </c>
      <c r="F41" s="18"/>
      <c r="G41" s="19">
        <f>calc!P50</f>
        <v>29960</v>
      </c>
      <c r="H41" s="18"/>
      <c r="I41" s="20">
        <f>calc!Q50</f>
        <v>72</v>
      </c>
    </row>
    <row r="42" spans="3:9" x14ac:dyDescent="0.35">
      <c r="C42" s="18" t="str">
        <f>calc!N51</f>
        <v>Prasanna Lakshmi Payasam</v>
      </c>
      <c r="D42" s="18">
        <f t="shared" si="0"/>
        <v>6</v>
      </c>
      <c r="E42" s="26">
        <f>calc!O51</f>
        <v>20275842.579999998</v>
      </c>
      <c r="F42" s="18"/>
      <c r="G42" s="19">
        <f>calc!P51</f>
        <v>16987</v>
      </c>
      <c r="H42" s="18"/>
      <c r="I42" s="20">
        <f>calc!Q51</f>
        <v>58</v>
      </c>
    </row>
    <row r="43" spans="3:9" x14ac:dyDescent="0.35">
      <c r="C43" s="18" t="str">
        <f>calc!N52</f>
        <v>Raghuveer Yettugunna</v>
      </c>
      <c r="D43" s="18">
        <f t="shared" si="0"/>
        <v>3</v>
      </c>
      <c r="E43" s="26">
        <f>calc!O52</f>
        <v>30798384.190000001</v>
      </c>
      <c r="F43" s="18"/>
      <c r="G43" s="19">
        <f>calc!P52</f>
        <v>27224</v>
      </c>
      <c r="H43" s="18"/>
      <c r="I43" s="20">
        <f>calc!Q52</f>
        <v>69</v>
      </c>
    </row>
    <row r="44" spans="3:9" x14ac:dyDescent="0.35">
      <c r="C44" s="18" t="str">
        <f>calc!N53</f>
        <v>Ramalingam Kothapeta</v>
      </c>
      <c r="D44" s="18">
        <f t="shared" si="0"/>
        <v>6</v>
      </c>
      <c r="E44" s="26">
        <f>calc!O53</f>
        <v>35396605.649999999</v>
      </c>
      <c r="F44" s="18"/>
      <c r="G44" s="19">
        <f>calc!P53</f>
        <v>31134</v>
      </c>
      <c r="H44" s="18"/>
      <c r="I44" s="20">
        <f>calc!Q53</f>
        <v>76</v>
      </c>
    </row>
    <row r="45" spans="3:9" x14ac:dyDescent="0.35">
      <c r="C45" s="18" t="str">
        <f>calc!N54</f>
        <v>Sahaj Jonnalagadda</v>
      </c>
      <c r="D45" s="18">
        <f t="shared" si="0"/>
        <v>4</v>
      </c>
      <c r="E45" s="26">
        <f>calc!O54</f>
        <v>27270945.73</v>
      </c>
      <c r="F45" s="18"/>
      <c r="G45" s="19">
        <f>calc!P54</f>
        <v>24579</v>
      </c>
      <c r="H45" s="18"/>
      <c r="I45" s="20">
        <f>calc!Q54</f>
        <v>69</v>
      </c>
    </row>
    <row r="46" spans="3:9" x14ac:dyDescent="0.35">
      <c r="C46" s="18" t="str">
        <f>calc!N55</f>
        <v>Sravanthi Chalaki</v>
      </c>
      <c r="D46" s="18">
        <f t="shared" si="0"/>
        <v>5</v>
      </c>
      <c r="E46" s="26">
        <f>calc!O55</f>
        <v>31225256.09</v>
      </c>
      <c r="F46" s="18"/>
      <c r="G46" s="19">
        <f>calc!P55</f>
        <v>28865</v>
      </c>
      <c r="H46" s="18"/>
      <c r="I46" s="20">
        <f>calc!Q55</f>
        <v>73</v>
      </c>
    </row>
    <row r="47" spans="3:9" x14ac:dyDescent="0.35">
      <c r="C47" s="18" t="str">
        <f>calc!N56</f>
        <v>Sreenivasa Naik Gudiwada</v>
      </c>
      <c r="D47" s="18">
        <f t="shared" si="0"/>
        <v>4</v>
      </c>
      <c r="E47" s="26">
        <f>calc!O56</f>
        <v>24605974.260000002</v>
      </c>
      <c r="F47" s="18"/>
      <c r="G47" s="19">
        <f>calc!P56</f>
        <v>24078</v>
      </c>
      <c r="H47" s="18"/>
      <c r="I47" s="20">
        <f>calc!Q56</f>
        <v>67</v>
      </c>
    </row>
    <row r="48" spans="3:9" x14ac:dyDescent="0.35">
      <c r="C48" s="18" t="str">
        <f>calc!N57</f>
        <v>Subbarao Malladi</v>
      </c>
      <c r="D48" s="18">
        <f t="shared" si="0"/>
        <v>1</v>
      </c>
      <c r="E48" s="26">
        <f>calc!O57</f>
        <v>29119972.559999999</v>
      </c>
      <c r="F48" s="18"/>
      <c r="G48" s="19">
        <f>calc!P57</f>
        <v>26013</v>
      </c>
      <c r="H48" s="18"/>
      <c r="I48" s="20">
        <f>calc!Q57</f>
        <v>74</v>
      </c>
    </row>
    <row r="49" spans="3:9" x14ac:dyDescent="0.35">
      <c r="C49" s="18" t="str">
        <f>calc!N58</f>
        <v>Suman Katte</v>
      </c>
      <c r="D49" s="18">
        <f t="shared" si="0"/>
        <v>2</v>
      </c>
      <c r="E49" s="26">
        <f>calc!O58</f>
        <v>36239182.490000002</v>
      </c>
      <c r="F49" s="18"/>
      <c r="G49" s="19">
        <f>calc!P58</f>
        <v>33156</v>
      </c>
      <c r="H49" s="18"/>
      <c r="I49" s="20">
        <f>calc!Q58</f>
        <v>72</v>
      </c>
    </row>
    <row r="50" spans="3:9" x14ac:dyDescent="0.35">
      <c r="C50" s="18" t="str">
        <f>calc!N59</f>
        <v>Vasavi Veeravasarapu</v>
      </c>
      <c r="D50" s="18">
        <f t="shared" si="0"/>
        <v>1</v>
      </c>
      <c r="E50" s="26">
        <f>calc!O59</f>
        <v>32328491.579999998</v>
      </c>
      <c r="F50" s="18"/>
      <c r="G50" s="19">
        <f>calc!P59</f>
        <v>26614</v>
      </c>
      <c r="H50" s="18"/>
      <c r="I50" s="20">
        <f>calc!Q59</f>
        <v>82</v>
      </c>
    </row>
    <row r="51" spans="3:9" x14ac:dyDescent="0.35">
      <c r="C51" s="18" t="str">
        <f>calc!N60</f>
        <v>Venkat Kodi</v>
      </c>
      <c r="D51" s="18">
        <f t="shared" si="0"/>
        <v>1</v>
      </c>
      <c r="E51" s="26">
        <f>calc!O60</f>
        <v>35962054.170000002</v>
      </c>
      <c r="F51" s="18"/>
      <c r="G51" s="19">
        <f>calc!P60</f>
        <v>30553</v>
      </c>
      <c r="H51" s="18"/>
      <c r="I51" s="20">
        <f>calc!Q60</f>
        <v>73</v>
      </c>
    </row>
    <row r="52" spans="3:9" x14ac:dyDescent="0.35">
      <c r="C52" s="18" t="str">
        <f>calc!N61</f>
        <v>Yedukondalu Panditula</v>
      </c>
      <c r="D52" s="18" t="e">
        <f t="shared" si="0"/>
        <v>#N/A</v>
      </c>
      <c r="E52" s="26">
        <f>calc!O61</f>
        <v>23935271.5</v>
      </c>
      <c r="F52" s="18"/>
      <c r="G52" s="19">
        <f>calc!P61</f>
        <v>20389</v>
      </c>
      <c r="H52" s="18"/>
      <c r="I52" s="20">
        <f>calc!Q61</f>
        <v>68</v>
      </c>
    </row>
  </sheetData>
  <mergeCells count="1">
    <mergeCell ref="E3:I3"/>
  </mergeCells>
  <conditionalFormatting sqref="D28:D52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E28:E52">
    <cfRule type="dataBar" priority="3">
      <dataBar>
        <cfvo type="num" val="0"/>
        <cfvo type="num" val="75000000"/>
        <color rgb="FF008AEF"/>
      </dataBar>
      <extLst>
        <ext xmlns:x14="http://schemas.microsoft.com/office/spreadsheetml/2009/9/main" uri="{B025F937-C7B1-47D3-B67F-A62EFF666E3E}">
          <x14:id>{AA529A9A-C09B-4FCC-AACA-9ACF0603CE73}</x14:id>
        </ext>
      </extLst>
    </cfRule>
  </conditionalFormatting>
  <conditionalFormatting sqref="I28:I52">
    <cfRule type="dataBar" priority="1">
      <dataBar>
        <cfvo type="num" val="0"/>
        <cfvo type="num" val="180"/>
        <color rgb="FF63C384"/>
      </dataBar>
      <extLst>
        <ext xmlns:x14="http://schemas.microsoft.com/office/spreadsheetml/2009/9/main" uri="{B025F937-C7B1-47D3-B67F-A62EFF666E3E}">
          <x14:id>{29D9FB4E-A382-467C-8A76-FEC2620039FB}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3" orientation="portrait" horizontalDpi="30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529A9A-C09B-4FCC-AACA-9ACF0603CE73}">
            <x14:dataBar minLength="0" maxLength="100" border="1" negativeBarBorderColorSameAsPositive="0">
              <x14:cfvo type="num">
                <xm:f>0</xm:f>
              </x14:cfvo>
              <x14:cfvo type="num">
                <xm:f>75000000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E28:E52</xm:sqref>
        </x14:conditionalFormatting>
        <x14:conditionalFormatting xmlns:xm="http://schemas.microsoft.com/office/excel/2006/main">
          <x14:cfRule type="dataBar" id="{29D9FB4E-A382-467C-8A76-FEC2620039FB}">
            <x14:dataBar minLength="0" maxLength="100" border="1" negativeBarBorderColorSameAsPositive="0">
              <x14:cfvo type="num">
                <xm:f>0</xm:f>
              </x14:cfvo>
              <x14:cfvo type="num">
                <xm:f>180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I28:I52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0DD7-79BD-4EFD-B6EA-C7E46ADBC54A}">
  <dimension ref="C7:Q62"/>
  <sheetViews>
    <sheetView topLeftCell="A38" zoomScale="85" zoomScaleNormal="85" workbookViewId="0">
      <selection activeCell="G63" sqref="G63"/>
    </sheetView>
  </sheetViews>
  <sheetFormatPr defaultRowHeight="15" x14ac:dyDescent="0.35"/>
  <cols>
    <col min="3" max="3" width="11.453125" bestFit="1" customWidth="1"/>
    <col min="4" max="4" width="18.6328125" bestFit="1" customWidth="1"/>
    <col min="5" max="5" width="15.453125" customWidth="1"/>
    <col min="6" max="6" width="11.453125" bestFit="1" customWidth="1"/>
    <col min="7" max="7" width="18.6328125" bestFit="1" customWidth="1"/>
    <col min="14" max="14" width="21.36328125" bestFit="1" customWidth="1"/>
    <col min="15" max="15" width="19.6328125" bestFit="1" customWidth="1"/>
    <col min="16" max="16" width="12.08984375" bestFit="1" customWidth="1"/>
    <col min="17" max="17" width="14.81640625" bestFit="1" customWidth="1"/>
  </cols>
  <sheetData>
    <row r="7" spans="3:7" x14ac:dyDescent="0.35">
      <c r="C7" t="s">
        <v>63</v>
      </c>
      <c r="D7" t="s">
        <v>64</v>
      </c>
      <c r="E7" t="s">
        <v>67</v>
      </c>
      <c r="F7" t="s">
        <v>68</v>
      </c>
      <c r="G7" t="s">
        <v>69</v>
      </c>
    </row>
    <row r="8" spans="3:7" x14ac:dyDescent="0.35">
      <c r="C8" s="12">
        <v>750177492.04999995</v>
      </c>
      <c r="D8" s="13">
        <v>669020</v>
      </c>
      <c r="E8">
        <v>1800</v>
      </c>
      <c r="F8">
        <v>25</v>
      </c>
      <c r="G8" s="11">
        <v>30007099.681999996</v>
      </c>
    </row>
    <row r="30" spans="3:7" x14ac:dyDescent="0.35">
      <c r="C30" s="9" t="s">
        <v>65</v>
      </c>
      <c r="D30" t="s">
        <v>74</v>
      </c>
      <c r="F30" s="9" t="s">
        <v>65</v>
      </c>
      <c r="G30" t="s">
        <v>74</v>
      </c>
    </row>
    <row r="31" spans="3:7" x14ac:dyDescent="0.35">
      <c r="C31" s="10" t="s">
        <v>7</v>
      </c>
      <c r="D31" s="12">
        <v>132235004.37</v>
      </c>
      <c r="F31" s="10" t="s">
        <v>60</v>
      </c>
      <c r="G31" s="16">
        <v>370995356.41000003</v>
      </c>
    </row>
    <row r="32" spans="3:7" x14ac:dyDescent="0.35">
      <c r="C32" s="10" t="s">
        <v>0</v>
      </c>
      <c r="D32" s="12">
        <v>130269343.19</v>
      </c>
      <c r="F32" s="10" t="s">
        <v>61</v>
      </c>
      <c r="G32" s="16">
        <v>240164261.33000001</v>
      </c>
    </row>
    <row r="33" spans="3:17" x14ac:dyDescent="0.35">
      <c r="C33" s="10" t="s">
        <v>10</v>
      </c>
      <c r="D33" s="12">
        <v>127773644.39</v>
      </c>
      <c r="F33" s="10" t="s">
        <v>62</v>
      </c>
      <c r="G33" s="16">
        <v>139017874.31</v>
      </c>
    </row>
    <row r="34" spans="3:17" ht="14.4" x14ac:dyDescent="0.35">
      <c r="C34" s="10" t="s">
        <v>5</v>
      </c>
      <c r="D34" s="12">
        <v>121750291.45999999</v>
      </c>
      <c r="F34" s="10" t="s">
        <v>66</v>
      </c>
      <c r="G34" s="16">
        <v>750177492.04999995</v>
      </c>
    </row>
    <row r="35" spans="3:17" ht="14.4" x14ac:dyDescent="0.35">
      <c r="C35" s="10" t="s">
        <v>16</v>
      </c>
      <c r="D35" s="12">
        <v>120383424.56</v>
      </c>
    </row>
    <row r="36" spans="3:17" ht="14.4" x14ac:dyDescent="0.35">
      <c r="C36" s="10" t="s">
        <v>23</v>
      </c>
      <c r="D36" s="12">
        <v>117765784.08</v>
      </c>
      <c r="N36" s="9" t="s">
        <v>65</v>
      </c>
      <c r="O36" t="s">
        <v>74</v>
      </c>
      <c r="P36" t="s">
        <v>64</v>
      </c>
      <c r="Q36" t="s">
        <v>67</v>
      </c>
    </row>
    <row r="37" spans="3:17" ht="14.4" x14ac:dyDescent="0.35">
      <c r="C37" s="10" t="s">
        <v>66</v>
      </c>
      <c r="D37" s="12">
        <v>750177492.04999995</v>
      </c>
      <c r="N37" s="10" t="s">
        <v>42</v>
      </c>
      <c r="O37" s="16">
        <v>33361933.710000001</v>
      </c>
      <c r="P37">
        <v>30608</v>
      </c>
      <c r="Q37">
        <v>77</v>
      </c>
    </row>
    <row r="38" spans="3:17" x14ac:dyDescent="0.35">
      <c r="N38" s="10" t="s">
        <v>4</v>
      </c>
      <c r="O38" s="16">
        <v>34520948.560000002</v>
      </c>
      <c r="P38">
        <v>33282</v>
      </c>
      <c r="Q38">
        <v>76</v>
      </c>
    </row>
    <row r="39" spans="3:17" x14ac:dyDescent="0.35">
      <c r="N39" s="10" t="s">
        <v>45</v>
      </c>
      <c r="O39" s="16">
        <v>37033915.729999997</v>
      </c>
      <c r="P39">
        <v>30805</v>
      </c>
      <c r="Q39">
        <v>81</v>
      </c>
    </row>
    <row r="40" spans="3:17" x14ac:dyDescent="0.35">
      <c r="N40" s="10" t="s">
        <v>20</v>
      </c>
      <c r="O40" s="16">
        <v>26761926.66</v>
      </c>
      <c r="P40">
        <v>24550</v>
      </c>
      <c r="Q40">
        <v>71</v>
      </c>
    </row>
    <row r="41" spans="3:17" x14ac:dyDescent="0.35">
      <c r="N41" s="10" t="s">
        <v>34</v>
      </c>
      <c r="O41" s="16">
        <v>27533038.050000001</v>
      </c>
      <c r="P41">
        <v>23645</v>
      </c>
      <c r="Q41">
        <v>70</v>
      </c>
    </row>
    <row r="42" spans="3:17" x14ac:dyDescent="0.35">
      <c r="N42" s="10" t="s">
        <v>37</v>
      </c>
      <c r="O42" s="16">
        <v>34079381.979999997</v>
      </c>
      <c r="P42">
        <v>30966</v>
      </c>
      <c r="Q42">
        <v>80</v>
      </c>
    </row>
    <row r="43" spans="3:17" x14ac:dyDescent="0.35">
      <c r="N43" s="10" t="s">
        <v>40</v>
      </c>
      <c r="O43" s="16">
        <v>28619175.760000002</v>
      </c>
      <c r="P43">
        <v>25820</v>
      </c>
      <c r="Q43">
        <v>65</v>
      </c>
    </row>
    <row r="44" spans="3:17" x14ac:dyDescent="0.35">
      <c r="N44" s="10" t="s">
        <v>21</v>
      </c>
      <c r="O44" s="16">
        <v>21653834.16</v>
      </c>
      <c r="P44">
        <v>19025</v>
      </c>
      <c r="Q44">
        <v>62</v>
      </c>
    </row>
    <row r="45" spans="3:17" x14ac:dyDescent="0.35">
      <c r="N45" s="10" t="s">
        <v>25</v>
      </c>
      <c r="O45" s="16">
        <v>32413454.289999999</v>
      </c>
      <c r="P45">
        <v>28964</v>
      </c>
      <c r="Q45">
        <v>78</v>
      </c>
    </row>
    <row r="46" spans="3:17" x14ac:dyDescent="0.35">
      <c r="N46" s="10" t="s">
        <v>49</v>
      </c>
      <c r="O46" s="16">
        <v>30142629.16</v>
      </c>
      <c r="P46">
        <v>26993</v>
      </c>
      <c r="Q46">
        <v>70</v>
      </c>
    </row>
    <row r="47" spans="3:17" x14ac:dyDescent="0.35">
      <c r="N47" s="10" t="s">
        <v>14</v>
      </c>
      <c r="O47" s="16">
        <v>24271402.609999999</v>
      </c>
      <c r="P47">
        <v>20573</v>
      </c>
      <c r="Q47">
        <v>70</v>
      </c>
    </row>
    <row r="48" spans="3:17" x14ac:dyDescent="0.35">
      <c r="N48" s="10" t="s">
        <v>46</v>
      </c>
      <c r="O48" s="16">
        <v>30175070.66</v>
      </c>
      <c r="P48">
        <v>28141</v>
      </c>
      <c r="Q48">
        <v>77</v>
      </c>
    </row>
    <row r="49" spans="14:17" x14ac:dyDescent="0.35">
      <c r="N49" s="10" t="s">
        <v>9</v>
      </c>
      <c r="O49" s="16">
        <v>30316625.920000002</v>
      </c>
      <c r="P49">
        <v>26096</v>
      </c>
      <c r="Q49">
        <v>70</v>
      </c>
    </row>
    <row r="50" spans="14:17" x14ac:dyDescent="0.35">
      <c r="N50" s="10" t="s">
        <v>44</v>
      </c>
      <c r="O50" s="16">
        <v>32136174</v>
      </c>
      <c r="P50">
        <v>29960</v>
      </c>
      <c r="Q50">
        <v>72</v>
      </c>
    </row>
    <row r="51" spans="14:17" x14ac:dyDescent="0.35">
      <c r="N51" s="10" t="s">
        <v>52</v>
      </c>
      <c r="O51" s="16">
        <v>20275842.579999998</v>
      </c>
      <c r="P51">
        <v>16987</v>
      </c>
      <c r="Q51">
        <v>58</v>
      </c>
    </row>
    <row r="52" spans="14:17" x14ac:dyDescent="0.35">
      <c r="N52" s="10" t="s">
        <v>51</v>
      </c>
      <c r="O52" s="16">
        <v>30798384.190000001</v>
      </c>
      <c r="P52">
        <v>27224</v>
      </c>
      <c r="Q52">
        <v>69</v>
      </c>
    </row>
    <row r="53" spans="14:17" x14ac:dyDescent="0.35">
      <c r="N53" s="10" t="s">
        <v>2</v>
      </c>
      <c r="O53" s="16">
        <v>35396605.649999999</v>
      </c>
      <c r="P53">
        <v>31134</v>
      </c>
      <c r="Q53">
        <v>76</v>
      </c>
    </row>
    <row r="54" spans="14:17" x14ac:dyDescent="0.35">
      <c r="N54" s="10" t="s">
        <v>39</v>
      </c>
      <c r="O54" s="16">
        <v>27270945.73</v>
      </c>
      <c r="P54">
        <v>24579</v>
      </c>
      <c r="Q54">
        <v>69</v>
      </c>
    </row>
    <row r="55" spans="14:17" x14ac:dyDescent="0.35">
      <c r="N55" s="10" t="s">
        <v>15</v>
      </c>
      <c r="O55" s="16">
        <v>31225256.09</v>
      </c>
      <c r="P55">
        <v>28865</v>
      </c>
      <c r="Q55">
        <v>73</v>
      </c>
    </row>
    <row r="56" spans="14:17" x14ac:dyDescent="0.35">
      <c r="N56" s="10" t="s">
        <v>12</v>
      </c>
      <c r="O56" s="16">
        <v>24605974.260000002</v>
      </c>
      <c r="P56">
        <v>24078</v>
      </c>
      <c r="Q56">
        <v>67</v>
      </c>
    </row>
    <row r="57" spans="14:17" x14ac:dyDescent="0.35">
      <c r="N57" s="10" t="s">
        <v>27</v>
      </c>
      <c r="O57" s="16">
        <v>29119972.559999999</v>
      </c>
      <c r="P57">
        <v>26013</v>
      </c>
      <c r="Q57">
        <v>74</v>
      </c>
    </row>
    <row r="58" spans="14:17" x14ac:dyDescent="0.35">
      <c r="N58" s="10" t="s">
        <v>30</v>
      </c>
      <c r="O58" s="16">
        <v>36239182.490000002</v>
      </c>
      <c r="P58">
        <v>33156</v>
      </c>
      <c r="Q58">
        <v>72</v>
      </c>
    </row>
    <row r="59" spans="14:17" x14ac:dyDescent="0.35">
      <c r="N59" s="10" t="s">
        <v>31</v>
      </c>
      <c r="O59" s="16">
        <v>32328491.579999998</v>
      </c>
      <c r="P59">
        <v>26614</v>
      </c>
      <c r="Q59">
        <v>82</v>
      </c>
    </row>
    <row r="60" spans="14:17" x14ac:dyDescent="0.35">
      <c r="N60" s="10" t="s">
        <v>28</v>
      </c>
      <c r="O60" s="16">
        <v>35962054.170000002</v>
      </c>
      <c r="P60">
        <v>30553</v>
      </c>
      <c r="Q60">
        <v>73</v>
      </c>
    </row>
    <row r="61" spans="14:17" x14ac:dyDescent="0.35">
      <c r="N61" s="10" t="s">
        <v>18</v>
      </c>
      <c r="O61" s="16">
        <v>23935271.5</v>
      </c>
      <c r="P61">
        <v>20389</v>
      </c>
      <c r="Q61">
        <v>68</v>
      </c>
    </row>
    <row r="62" spans="14:17" x14ac:dyDescent="0.35">
      <c r="N62" s="10" t="s">
        <v>66</v>
      </c>
      <c r="O62" s="16">
        <v>750177492.04999995</v>
      </c>
      <c r="P62" s="12">
        <v>669020</v>
      </c>
      <c r="Q62" s="12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dashboard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Guru Prasad</cp:lastModifiedBy>
  <cp:lastPrinted>2026-10-16T06:06:43Z</cp:lastPrinted>
  <dcterms:created xsi:type="dcterms:W3CDTF">2021-03-14T20:21:32Z</dcterms:created>
  <dcterms:modified xsi:type="dcterms:W3CDTF">2026-10-16T07:25:26Z</dcterms:modified>
</cp:coreProperties>
</file>